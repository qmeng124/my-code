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qge13\Dropbox (Vassar College)\Projects\Chinese names_pronounciation\analysis\AEJ_RR2_Replication_Files\tables\appendix\"/>
    </mc:Choice>
  </mc:AlternateContent>
  <xr:revisionPtr revIDLastSave="0" documentId="13_ncr:1_{D6FC7C08-B540-4DD2-A4FD-1ED4513602F1}" xr6:coauthVersionLast="47" xr6:coauthVersionMax="47" xr10:uidLastSave="{00000000-0000-0000-0000-000000000000}"/>
  <bookViews>
    <workbookView xWindow="-108" yWindow="-108" windowWidth="23256" windowHeight="14856" activeTab="1" xr2:uid="{00000000-000D-0000-FFFF-FFFF00000000}"/>
  </bookViews>
  <sheets>
    <sheet name="Table 5" sheetId="5" r:id="rId1"/>
    <sheet name="Table A1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1" i="5" l="1"/>
  <c r="C30" i="5"/>
  <c r="C12" i="5"/>
  <c r="C11" i="5"/>
  <c r="H22" i="3"/>
  <c r="F22" i="3"/>
  <c r="G22" i="3" s="1"/>
  <c r="E22" i="3"/>
  <c r="D22" i="3"/>
  <c r="H59" i="3" l="1"/>
  <c r="F59" i="3"/>
  <c r="G59" i="3" s="1"/>
  <c r="E59" i="3"/>
  <c r="D59" i="3"/>
  <c r="H34" i="3"/>
  <c r="F34" i="3"/>
  <c r="D34" i="3"/>
  <c r="H45" i="3"/>
  <c r="H56" i="3"/>
  <c r="E45" i="3" l="1"/>
  <c r="F45" i="3"/>
  <c r="G45" i="3" s="1"/>
  <c r="E34" i="3"/>
  <c r="E56" i="3"/>
  <c r="D56" i="3"/>
  <c r="D45" i="3"/>
  <c r="F56" i="3"/>
  <c r="G56" i="3" s="1"/>
  <c r="G34" i="3"/>
</calcChain>
</file>

<file path=xl/sharedStrings.xml><?xml version="1.0" encoding="utf-8"?>
<sst xmlns="http://schemas.openxmlformats.org/spreadsheetml/2006/main" count="80" uniqueCount="58">
  <si>
    <t>p-value</t>
  </si>
  <si>
    <t>Na Li</t>
  </si>
  <si>
    <t>Min Liu</t>
  </si>
  <si>
    <t>Lei Li</t>
  </si>
  <si>
    <t>Tao Wang</t>
  </si>
  <si>
    <t>Dong Liu</t>
  </si>
  <si>
    <t>Fang Wang</t>
  </si>
  <si>
    <t>Yong Zhang</t>
  </si>
  <si>
    <t>Xiuying Zhang</t>
  </si>
  <si>
    <t>Name Difficulty</t>
  </si>
  <si>
    <t>Percent Callback</t>
  </si>
  <si>
    <t>CHINESE</t>
  </si>
  <si>
    <t>Correlation</t>
  </si>
  <si>
    <t>INDIAN</t>
  </si>
  <si>
    <t>Tara Singh</t>
  </si>
  <si>
    <t>Maya Kumar</t>
  </si>
  <si>
    <t>Shreya Sharma</t>
  </si>
  <si>
    <t>Arjun Kumar</t>
  </si>
  <si>
    <t>Samir Sharma</t>
  </si>
  <si>
    <t>Panav Singh</t>
  </si>
  <si>
    <t>Rahul Kaur</t>
  </si>
  <si>
    <t>Priyanka Kaur</t>
  </si>
  <si>
    <t>PAKISTANI</t>
  </si>
  <si>
    <t>INDIAN/PAKISTANI/CHINESE</t>
  </si>
  <si>
    <t>Hassan Khan</t>
  </si>
  <si>
    <t>Fatima Sheikh</t>
  </si>
  <si>
    <t>Sana Khan</t>
  </si>
  <si>
    <t>Ali Saeed</t>
  </si>
  <si>
    <t>Chaudhry Mohammad</t>
  </si>
  <si>
    <t>Asif Sheikh</t>
  </si>
  <si>
    <t>Hina Chaudhry</t>
  </si>
  <si>
    <t>Rabab Saeed</t>
  </si>
  <si>
    <t>t-statistic</t>
  </si>
  <si>
    <t>Avg. Name Difficulty</t>
  </si>
  <si>
    <t>Avg. Percent Callback</t>
  </si>
  <si>
    <t>BLACK</t>
  </si>
  <si>
    <t>Ebony</t>
  </si>
  <si>
    <t>Kenya</t>
  </si>
  <si>
    <t>Leroy</t>
  </si>
  <si>
    <t>Tyrone</t>
  </si>
  <si>
    <t>Jermaine</t>
  </si>
  <si>
    <t>Jamal</t>
  </si>
  <si>
    <t>Tremayne</t>
  </si>
  <si>
    <t>Tamika</t>
  </si>
  <si>
    <t>Darnell</t>
  </si>
  <si>
    <t>Rasheed</t>
  </si>
  <si>
    <t>Latonya</t>
  </si>
  <si>
    <t>Hakim</t>
  </si>
  <si>
    <t>Kareem</t>
  </si>
  <si>
    <t>Aisha</t>
  </si>
  <si>
    <t>Keisha</t>
  </si>
  <si>
    <t>Latoya</t>
  </si>
  <si>
    <t>Tanisha</t>
  </si>
  <si>
    <t>Lakisha</t>
  </si>
  <si>
    <t>BM (2004)</t>
  </si>
  <si>
    <t>Oreopoulos (2011)</t>
  </si>
  <si>
    <t>Correlation Among All Black Applicants</t>
  </si>
  <si>
    <t>Correlation Among Ind/Pak/Chn Applicants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</si>
</sst>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04CEB-F8C1-465D-A16B-6A63F0A6DA52}">
  <dimension ref="A1:C31"/>
  <sheetViews>
    <sheetView workbookViewId="0"/>
  </sheetViews>
  <sheetFormatPr defaultRowHeight="14.4" x14ac:dyDescent="0.3"/>
  <cols>
    <col min="1" max="1" width="18.77734375" customWidth="1"/>
    <col min="2" max="3" width="15.77734375" customWidth="1"/>
  </cols>
  <sheetData>
    <row r="1" spans="1:3" x14ac:dyDescent="0.3">
      <c r="A1" s="2"/>
      <c r="B1" s="2" t="s">
        <v>9</v>
      </c>
      <c r="C1" s="2" t="s">
        <v>10</v>
      </c>
    </row>
    <row r="2" spans="1:3" x14ac:dyDescent="0.3">
      <c r="A2" s="10" t="s">
        <v>54</v>
      </c>
      <c r="B2" s="2"/>
      <c r="C2" s="2"/>
    </row>
    <row r="3" spans="1:3" x14ac:dyDescent="0.3">
      <c r="A3" s="6" t="s">
        <v>35</v>
      </c>
      <c r="B3" s="7"/>
      <c r="C3" s="7"/>
    </row>
    <row r="4" spans="1:3" x14ac:dyDescent="0.3">
      <c r="A4" s="3" t="s">
        <v>36</v>
      </c>
      <c r="B4" s="8">
        <v>-0.9727652</v>
      </c>
      <c r="C4" s="9">
        <v>9.6199999999999992</v>
      </c>
    </row>
    <row r="5" spans="1:3" x14ac:dyDescent="0.3">
      <c r="A5" s="3" t="s">
        <v>37</v>
      </c>
      <c r="B5" s="8">
        <v>-0.9727652</v>
      </c>
      <c r="C5" s="9">
        <v>8.67</v>
      </c>
    </row>
    <row r="6" spans="1:3" x14ac:dyDescent="0.3">
      <c r="A6" s="3" t="s">
        <v>38</v>
      </c>
      <c r="B6" s="8">
        <v>-0.52327670000000004</v>
      </c>
      <c r="C6" s="9">
        <v>9.3800000000000008</v>
      </c>
    </row>
    <row r="7" spans="1:3" x14ac:dyDescent="0.3">
      <c r="A7" s="3" t="s">
        <v>49</v>
      </c>
      <c r="B7" s="8">
        <v>1.148185</v>
      </c>
      <c r="C7" s="9">
        <v>2.2200000000000002</v>
      </c>
    </row>
    <row r="8" spans="1:3" x14ac:dyDescent="0.3">
      <c r="A8" s="3" t="s">
        <v>50</v>
      </c>
      <c r="B8" s="8">
        <v>1.5472790000000001</v>
      </c>
      <c r="C8" s="9">
        <v>3.83</v>
      </c>
    </row>
    <row r="9" spans="1:3" x14ac:dyDescent="0.3">
      <c r="A9" s="3" t="s">
        <v>53</v>
      </c>
      <c r="B9" s="8">
        <v>2.1608019999999999</v>
      </c>
      <c r="C9" s="11">
        <v>5.5</v>
      </c>
    </row>
    <row r="10" spans="1:3" x14ac:dyDescent="0.3">
      <c r="A10" s="2"/>
      <c r="B10" s="2"/>
      <c r="C10" s="2"/>
    </row>
    <row r="11" spans="1:3" x14ac:dyDescent="0.3">
      <c r="A11" s="3" t="s">
        <v>56</v>
      </c>
      <c r="B11" s="2"/>
      <c r="C11" s="8">
        <f>'Table A11'!F22</f>
        <v>-0.48817716331729416</v>
      </c>
    </row>
    <row r="12" spans="1:3" x14ac:dyDescent="0.3">
      <c r="A12" s="3" t="s">
        <v>0</v>
      </c>
      <c r="B12" s="2"/>
      <c r="C12" s="8">
        <f>'Table A11'!H22</f>
        <v>3.9838802723299559E-2</v>
      </c>
    </row>
    <row r="13" spans="1:3" x14ac:dyDescent="0.3">
      <c r="A13" s="2"/>
      <c r="B13" s="2"/>
      <c r="C13" s="2"/>
    </row>
    <row r="14" spans="1:3" x14ac:dyDescent="0.3">
      <c r="A14" s="2"/>
      <c r="B14" s="2"/>
      <c r="C14" s="2"/>
    </row>
    <row r="15" spans="1:3" x14ac:dyDescent="0.3">
      <c r="A15" s="10" t="s">
        <v>55</v>
      </c>
      <c r="B15" s="2"/>
      <c r="C15" s="2"/>
    </row>
    <row r="16" spans="1:3" x14ac:dyDescent="0.3">
      <c r="A16" s="1" t="s">
        <v>13</v>
      </c>
    </row>
    <row r="17" spans="1:3" x14ac:dyDescent="0.3">
      <c r="A17" t="s">
        <v>14</v>
      </c>
      <c r="B17" s="4">
        <v>-0.60274879999999997</v>
      </c>
      <c r="C17">
        <v>10.29</v>
      </c>
    </row>
    <row r="18" spans="1:3" x14ac:dyDescent="0.3">
      <c r="A18" t="s">
        <v>21</v>
      </c>
      <c r="B18" s="4">
        <v>2.556994</v>
      </c>
      <c r="C18">
        <v>7.61</v>
      </c>
    </row>
    <row r="19" spans="1:3" x14ac:dyDescent="0.3">
      <c r="B19" s="4"/>
    </row>
    <row r="20" spans="1:3" x14ac:dyDescent="0.3">
      <c r="B20" s="4"/>
    </row>
    <row r="21" spans="1:3" x14ac:dyDescent="0.3">
      <c r="A21" s="1" t="s">
        <v>22</v>
      </c>
      <c r="B21" s="4"/>
    </row>
    <row r="22" spans="1:3" x14ac:dyDescent="0.3">
      <c r="A22" t="s">
        <v>26</v>
      </c>
      <c r="B22" s="4">
        <v>0.39194679999999998</v>
      </c>
      <c r="C22">
        <v>8.82</v>
      </c>
    </row>
    <row r="23" spans="1:3" x14ac:dyDescent="0.3">
      <c r="A23" t="s">
        <v>31</v>
      </c>
      <c r="B23" s="4">
        <v>3.1421700000000001</v>
      </c>
      <c r="C23">
        <v>4.26</v>
      </c>
    </row>
    <row r="24" spans="1:3" x14ac:dyDescent="0.3">
      <c r="B24" s="4"/>
    </row>
    <row r="25" spans="1:3" x14ac:dyDescent="0.3">
      <c r="B25" s="4"/>
    </row>
    <row r="26" spans="1:3" x14ac:dyDescent="0.3">
      <c r="A26" s="1" t="s">
        <v>11</v>
      </c>
      <c r="B26" s="4"/>
    </row>
    <row r="27" spans="1:3" x14ac:dyDescent="0.3">
      <c r="A27" t="s">
        <v>2</v>
      </c>
      <c r="B27" s="4">
        <v>-0.67130389999999995</v>
      </c>
      <c r="C27">
        <v>11.34</v>
      </c>
    </row>
    <row r="28" spans="1:3" x14ac:dyDescent="0.3">
      <c r="A28" t="s">
        <v>8</v>
      </c>
      <c r="B28" s="4">
        <v>1.510818</v>
      </c>
      <c r="C28">
        <v>7.42</v>
      </c>
    </row>
    <row r="30" spans="1:3" x14ac:dyDescent="0.3">
      <c r="A30" s="3" t="s">
        <v>57</v>
      </c>
      <c r="C30" s="4">
        <f>'Table A11'!F59</f>
        <v>-0.59422056896894238</v>
      </c>
    </row>
    <row r="31" spans="1:3" x14ac:dyDescent="0.3">
      <c r="A31" s="3" t="s">
        <v>0</v>
      </c>
      <c r="C31" s="4">
        <f>'Table A11'!H59</f>
        <v>2.1997069829431865E-3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tabSelected="1" workbookViewId="0"/>
  </sheetViews>
  <sheetFormatPr defaultRowHeight="14.4" x14ac:dyDescent="0.3"/>
  <cols>
    <col min="1" max="1" width="18.77734375" customWidth="1"/>
    <col min="2" max="3" width="15.77734375" customWidth="1"/>
    <col min="4" max="5" width="18.77734375" customWidth="1"/>
    <col min="6" max="8" width="12.77734375" customWidth="1"/>
  </cols>
  <sheetData>
    <row r="1" spans="1:8" s="2" customFormat="1" x14ac:dyDescent="0.3">
      <c r="B1" s="2" t="s">
        <v>9</v>
      </c>
      <c r="C1" s="2" t="s">
        <v>10</v>
      </c>
      <c r="D1" s="2" t="s">
        <v>33</v>
      </c>
      <c r="E1" s="2" t="s">
        <v>34</v>
      </c>
      <c r="F1" s="2" t="s">
        <v>12</v>
      </c>
      <c r="G1" s="2" t="s">
        <v>32</v>
      </c>
      <c r="H1" s="2" t="s">
        <v>0</v>
      </c>
    </row>
    <row r="2" spans="1:8" s="2" customFormat="1" x14ac:dyDescent="0.3">
      <c r="A2" s="10" t="s">
        <v>54</v>
      </c>
    </row>
    <row r="3" spans="1:8" s="2" customFormat="1" x14ac:dyDescent="0.3">
      <c r="A3" s="6" t="s">
        <v>35</v>
      </c>
      <c r="B3" s="7"/>
      <c r="C3" s="7"/>
    </row>
    <row r="4" spans="1:8" s="2" customFormat="1" x14ac:dyDescent="0.3">
      <c r="A4" s="3" t="s">
        <v>36</v>
      </c>
      <c r="B4" s="8">
        <v>-0.9727652</v>
      </c>
      <c r="C4" s="11">
        <v>9.6199999999999992</v>
      </c>
    </row>
    <row r="5" spans="1:8" s="2" customFormat="1" x14ac:dyDescent="0.3">
      <c r="A5" s="3" t="s">
        <v>37</v>
      </c>
      <c r="B5" s="8">
        <v>-0.9727652</v>
      </c>
      <c r="C5" s="11">
        <v>8.67</v>
      </c>
    </row>
    <row r="6" spans="1:8" s="2" customFormat="1" x14ac:dyDescent="0.3">
      <c r="A6" s="3" t="s">
        <v>38</v>
      </c>
      <c r="B6" s="8">
        <v>-0.52327670000000004</v>
      </c>
      <c r="C6" s="11">
        <v>9.3800000000000008</v>
      </c>
    </row>
    <row r="7" spans="1:8" s="2" customFormat="1" x14ac:dyDescent="0.3">
      <c r="A7" s="3" t="s">
        <v>39</v>
      </c>
      <c r="B7" s="8">
        <v>-0.360595</v>
      </c>
      <c r="C7" s="11">
        <v>5.33</v>
      </c>
    </row>
    <row r="8" spans="1:8" s="2" customFormat="1" x14ac:dyDescent="0.3">
      <c r="A8" s="3" t="s">
        <v>40</v>
      </c>
      <c r="B8" s="8">
        <v>4.0013999999999996E-3</v>
      </c>
      <c r="C8" s="11">
        <v>9.6199999999999992</v>
      </c>
    </row>
    <row r="9" spans="1:8" s="2" customFormat="1" x14ac:dyDescent="0.3">
      <c r="A9" s="3" t="s">
        <v>41</v>
      </c>
      <c r="B9" s="8">
        <v>0.15281629999999999</v>
      </c>
      <c r="C9" s="11">
        <v>6.56</v>
      </c>
    </row>
    <row r="10" spans="1:8" s="2" customFormat="1" x14ac:dyDescent="0.3">
      <c r="A10" s="3" t="s">
        <v>42</v>
      </c>
      <c r="B10" s="8">
        <v>0.2001665</v>
      </c>
      <c r="C10" s="11">
        <v>4.3499999999999996</v>
      </c>
    </row>
    <row r="11" spans="1:8" s="2" customFormat="1" x14ac:dyDescent="0.3">
      <c r="A11" s="3" t="s">
        <v>43</v>
      </c>
      <c r="B11" s="8">
        <v>0.29723430000000001</v>
      </c>
      <c r="C11" s="11">
        <v>5.47</v>
      </c>
    </row>
    <row r="12" spans="1:8" s="2" customFormat="1" x14ac:dyDescent="0.3">
      <c r="A12" s="3" t="s">
        <v>44</v>
      </c>
      <c r="B12" s="8">
        <v>0.67502119999999999</v>
      </c>
      <c r="C12" s="11">
        <v>4.76</v>
      </c>
    </row>
    <row r="13" spans="1:8" s="2" customFormat="1" x14ac:dyDescent="0.3">
      <c r="A13" s="3" t="s">
        <v>45</v>
      </c>
      <c r="B13" s="8">
        <v>0.77039800000000003</v>
      </c>
      <c r="C13" s="11">
        <v>2.99</v>
      </c>
    </row>
    <row r="14" spans="1:8" s="2" customFormat="1" x14ac:dyDescent="0.3">
      <c r="A14" s="3" t="s">
        <v>46</v>
      </c>
      <c r="B14" s="8">
        <v>0.82552700000000001</v>
      </c>
      <c r="C14" s="11">
        <v>9.1300000000000008</v>
      </c>
    </row>
    <row r="15" spans="1:8" s="2" customFormat="1" x14ac:dyDescent="0.3">
      <c r="A15" s="3" t="s">
        <v>47</v>
      </c>
      <c r="B15" s="8">
        <v>0.97028340000000002</v>
      </c>
      <c r="C15" s="11">
        <v>5.45</v>
      </c>
    </row>
    <row r="16" spans="1:8" s="2" customFormat="1" x14ac:dyDescent="0.3">
      <c r="A16" s="3" t="s">
        <v>48</v>
      </c>
      <c r="B16" s="8">
        <v>1.037588</v>
      </c>
      <c r="C16" s="11">
        <v>4.6900000000000004</v>
      </c>
    </row>
    <row r="17" spans="1:8" s="2" customFormat="1" x14ac:dyDescent="0.3">
      <c r="A17" s="3" t="s">
        <v>49</v>
      </c>
      <c r="B17" s="8">
        <v>1.148185</v>
      </c>
      <c r="C17" s="11">
        <v>2.2200000000000002</v>
      </c>
    </row>
    <row r="18" spans="1:8" s="2" customFormat="1" x14ac:dyDescent="0.3">
      <c r="A18" s="3" t="s">
        <v>50</v>
      </c>
      <c r="B18" s="8">
        <v>1.5472790000000001</v>
      </c>
      <c r="C18" s="11">
        <v>3.83</v>
      </c>
    </row>
    <row r="19" spans="1:8" s="2" customFormat="1" x14ac:dyDescent="0.3">
      <c r="A19" s="3" t="s">
        <v>51</v>
      </c>
      <c r="B19" s="8">
        <v>1.548632</v>
      </c>
      <c r="C19" s="11">
        <v>8.41</v>
      </c>
    </row>
    <row r="20" spans="1:8" s="2" customFormat="1" x14ac:dyDescent="0.3">
      <c r="A20" s="3" t="s">
        <v>52</v>
      </c>
      <c r="B20" s="8">
        <v>1.838821</v>
      </c>
      <c r="C20" s="11">
        <v>5.8</v>
      </c>
    </row>
    <row r="21" spans="1:8" s="2" customFormat="1" x14ac:dyDescent="0.3">
      <c r="A21" s="3" t="s">
        <v>53</v>
      </c>
      <c r="B21" s="8">
        <v>2.1608019999999999</v>
      </c>
      <c r="C21" s="11">
        <v>5.5</v>
      </c>
    </row>
    <row r="22" spans="1:8" s="2" customFormat="1" x14ac:dyDescent="0.3">
      <c r="C22" s="12"/>
      <c r="D22" s="8">
        <f>AVERAGE(B4:B21)</f>
        <v>0.57485294444444435</v>
      </c>
      <c r="E22" s="9">
        <f>AVERAGE(C4:C21)</f>
        <v>6.2099999999999991</v>
      </c>
      <c r="F22" s="8">
        <f>CORREL(B4:B21,C4:C21)</f>
        <v>-0.48817716331729416</v>
      </c>
      <c r="G22" s="4">
        <f>F22*SQRT(18-2)/SQRT(1-F22^2)</f>
        <v>-2.237434359743983</v>
      </c>
      <c r="H22" s="4">
        <f>_xlfn.T.DIST.2T(2.23743,16)</f>
        <v>3.9838802723299559E-2</v>
      </c>
    </row>
    <row r="23" spans="1:8" s="2" customFormat="1" x14ac:dyDescent="0.3">
      <c r="C23" s="12"/>
      <c r="D23" s="8"/>
      <c r="E23" s="9"/>
      <c r="F23" s="8"/>
      <c r="G23" s="4"/>
      <c r="H23" s="4"/>
    </row>
    <row r="24" spans="1:8" s="2" customFormat="1" x14ac:dyDescent="0.3">
      <c r="A24" s="10" t="s">
        <v>55</v>
      </c>
      <c r="C24" s="12"/>
    </row>
    <row r="25" spans="1:8" x14ac:dyDescent="0.3">
      <c r="A25" s="1" t="s">
        <v>13</v>
      </c>
      <c r="C25" s="5"/>
    </row>
    <row r="26" spans="1:8" x14ac:dyDescent="0.3">
      <c r="A26" t="s">
        <v>14</v>
      </c>
      <c r="B26" s="4">
        <v>-0.60274879999999997</v>
      </c>
      <c r="C26" s="5">
        <v>10.29</v>
      </c>
    </row>
    <row r="27" spans="1:8" x14ac:dyDescent="0.3">
      <c r="A27" t="s">
        <v>15</v>
      </c>
      <c r="B27" s="4">
        <v>-0.53755679999999995</v>
      </c>
      <c r="C27" s="5">
        <v>8.66</v>
      </c>
    </row>
    <row r="28" spans="1:8" x14ac:dyDescent="0.3">
      <c r="A28" t="s">
        <v>16</v>
      </c>
      <c r="B28" s="4">
        <v>0.3479681</v>
      </c>
      <c r="C28" s="5">
        <v>9.5399999999999991</v>
      </c>
    </row>
    <row r="29" spans="1:8" x14ac:dyDescent="0.3">
      <c r="A29" t="s">
        <v>17</v>
      </c>
      <c r="B29" s="4">
        <v>0.74222449999999995</v>
      </c>
      <c r="C29" s="5">
        <v>7.82</v>
      </c>
    </row>
    <row r="30" spans="1:8" x14ac:dyDescent="0.3">
      <c r="A30" t="s">
        <v>18</v>
      </c>
      <c r="B30" s="4">
        <v>0.98488379999999998</v>
      </c>
      <c r="C30" s="5">
        <v>8.59</v>
      </c>
    </row>
    <row r="31" spans="1:8" x14ac:dyDescent="0.3">
      <c r="A31" t="s">
        <v>19</v>
      </c>
      <c r="B31" s="4">
        <v>1.2637609999999999</v>
      </c>
      <c r="C31" s="5">
        <v>8.25</v>
      </c>
    </row>
    <row r="32" spans="1:8" x14ac:dyDescent="0.3">
      <c r="A32" t="s">
        <v>20</v>
      </c>
      <c r="B32" s="4">
        <v>1.9130940000000001</v>
      </c>
      <c r="C32" s="5">
        <v>8.14</v>
      </c>
    </row>
    <row r="33" spans="1:8" x14ac:dyDescent="0.3">
      <c r="A33" t="s">
        <v>21</v>
      </c>
      <c r="B33" s="4">
        <v>2.556994</v>
      </c>
      <c r="C33" s="5">
        <v>7.61</v>
      </c>
    </row>
    <row r="34" spans="1:8" x14ac:dyDescent="0.3">
      <c r="B34" s="4"/>
      <c r="C34" s="5"/>
      <c r="D34" s="4">
        <f>AVERAGE(B26:B33)</f>
        <v>0.83357747500000001</v>
      </c>
      <c r="E34" s="5">
        <f>AVERAGE(C26:C33)</f>
        <v>8.6125000000000007</v>
      </c>
      <c r="F34" s="4">
        <f>CORREL(B26:B33,C26:C33)</f>
        <v>-0.75518535768340311</v>
      </c>
      <c r="G34" s="4">
        <f>F34*SQRT(8-2)/SQRT(1-F34^2)</f>
        <v>-2.8219479414393955</v>
      </c>
      <c r="H34" s="4">
        <f>_xlfn.T.DIST.2T(2.82195,6)</f>
        <v>3.0276418160489017E-2</v>
      </c>
    </row>
    <row r="35" spans="1:8" x14ac:dyDescent="0.3">
      <c r="B35" s="4"/>
      <c r="C35" s="5"/>
    </row>
    <row r="36" spans="1:8" x14ac:dyDescent="0.3">
      <c r="A36" s="1" t="s">
        <v>22</v>
      </c>
      <c r="B36" s="4"/>
      <c r="C36" s="5"/>
    </row>
    <row r="37" spans="1:8" x14ac:dyDescent="0.3">
      <c r="A37" t="s">
        <v>24</v>
      </c>
      <c r="B37" s="4">
        <v>-0.3039521</v>
      </c>
      <c r="C37" s="5">
        <v>6.3</v>
      </c>
    </row>
    <row r="38" spans="1:8" x14ac:dyDescent="0.3">
      <c r="A38" t="s">
        <v>25</v>
      </c>
      <c r="B38" s="4">
        <v>0.2447474</v>
      </c>
      <c r="C38" s="5">
        <v>8.11</v>
      </c>
    </row>
    <row r="39" spans="1:8" x14ac:dyDescent="0.3">
      <c r="A39" t="s">
        <v>26</v>
      </c>
      <c r="B39" s="4">
        <v>0.39194679999999998</v>
      </c>
      <c r="C39" s="5">
        <v>8.82</v>
      </c>
    </row>
    <row r="40" spans="1:8" x14ac:dyDescent="0.3">
      <c r="A40" t="s">
        <v>27</v>
      </c>
      <c r="B40" s="4">
        <v>0.70548929999999999</v>
      </c>
      <c r="C40" s="5">
        <v>8.33</v>
      </c>
    </row>
    <row r="41" spans="1:8" x14ac:dyDescent="0.3">
      <c r="A41" t="s">
        <v>28</v>
      </c>
      <c r="B41" s="4">
        <v>1.102074</v>
      </c>
      <c r="C41" s="5">
        <v>6.12</v>
      </c>
    </row>
    <row r="42" spans="1:8" x14ac:dyDescent="0.3">
      <c r="A42" t="s">
        <v>29</v>
      </c>
      <c r="B42" s="4">
        <v>1.2955810000000001</v>
      </c>
      <c r="C42" s="5">
        <v>3.85</v>
      </c>
    </row>
    <row r="43" spans="1:8" x14ac:dyDescent="0.3">
      <c r="A43" t="s">
        <v>30</v>
      </c>
      <c r="B43" s="4">
        <v>1.348096</v>
      </c>
      <c r="C43" s="5">
        <v>7.8</v>
      </c>
    </row>
    <row r="44" spans="1:8" x14ac:dyDescent="0.3">
      <c r="A44" t="s">
        <v>31</v>
      </c>
      <c r="B44" s="4">
        <v>3.1421700000000001</v>
      </c>
      <c r="C44" s="5">
        <v>4.26</v>
      </c>
    </row>
    <row r="45" spans="1:8" x14ac:dyDescent="0.3">
      <c r="B45" s="4"/>
      <c r="C45" s="5"/>
      <c r="D45" s="4">
        <f>AVERAGE(B37:B44)</f>
        <v>0.99076905000000004</v>
      </c>
      <c r="E45" s="5">
        <f>AVERAGE(C37:C44)</f>
        <v>6.6987499999999995</v>
      </c>
      <c r="F45" s="4">
        <f>CORREL(B37:B44,C37:C44)</f>
        <v>-0.58806052243000984</v>
      </c>
      <c r="G45" s="4">
        <f>F45*SQRT(8-2)/SQRT(1-F45^2)</f>
        <v>-1.7809323335466176</v>
      </c>
      <c r="H45" s="4">
        <f>_xlfn.T.DIST.2T(1.78093,6)</f>
        <v>0.12521534429945891</v>
      </c>
    </row>
    <row r="46" spans="1:8" x14ac:dyDescent="0.3">
      <c r="B46" s="4"/>
      <c r="C46" s="5"/>
    </row>
    <row r="47" spans="1:8" x14ac:dyDescent="0.3">
      <c r="A47" s="1" t="s">
        <v>11</v>
      </c>
      <c r="B47" s="4"/>
      <c r="C47" s="5"/>
    </row>
    <row r="48" spans="1:8" x14ac:dyDescent="0.3">
      <c r="A48" t="s">
        <v>1</v>
      </c>
      <c r="B48" s="4">
        <v>-0.80246410000000001</v>
      </c>
      <c r="C48" s="5">
        <v>7.65</v>
      </c>
    </row>
    <row r="49" spans="1:8" x14ac:dyDescent="0.3">
      <c r="A49" t="s">
        <v>2</v>
      </c>
      <c r="B49" s="4">
        <v>-0.67130389999999995</v>
      </c>
      <c r="C49" s="5">
        <v>11.34</v>
      </c>
    </row>
    <row r="50" spans="1:8" x14ac:dyDescent="0.3">
      <c r="A50" t="s">
        <v>3</v>
      </c>
      <c r="B50" s="4">
        <v>-0.64439930000000001</v>
      </c>
      <c r="C50" s="5">
        <v>9.32</v>
      </c>
    </row>
    <row r="51" spans="1:8" x14ac:dyDescent="0.3">
      <c r="A51" t="s">
        <v>4</v>
      </c>
      <c r="B51" s="4">
        <v>-0.55747659999999999</v>
      </c>
      <c r="C51" s="5">
        <v>10.98</v>
      </c>
    </row>
    <row r="52" spans="1:8" x14ac:dyDescent="0.3">
      <c r="A52" t="s">
        <v>5</v>
      </c>
      <c r="B52" s="4">
        <v>-0.5339351</v>
      </c>
      <c r="C52" s="5">
        <v>7.88</v>
      </c>
    </row>
    <row r="53" spans="1:8" x14ac:dyDescent="0.3">
      <c r="A53" t="s">
        <v>6</v>
      </c>
      <c r="B53" s="4">
        <v>-0.28325620000000001</v>
      </c>
      <c r="C53" s="5">
        <v>12.57</v>
      </c>
    </row>
    <row r="54" spans="1:8" x14ac:dyDescent="0.3">
      <c r="A54" t="s">
        <v>7</v>
      </c>
      <c r="B54" s="4">
        <v>-0.2788583</v>
      </c>
      <c r="C54" s="5">
        <v>8.6</v>
      </c>
    </row>
    <row r="55" spans="1:8" x14ac:dyDescent="0.3">
      <c r="A55" t="s">
        <v>8</v>
      </c>
      <c r="B55" s="4">
        <v>1.510818</v>
      </c>
      <c r="C55" s="5">
        <v>7.42</v>
      </c>
    </row>
    <row r="56" spans="1:8" x14ac:dyDescent="0.3">
      <c r="B56" s="4"/>
      <c r="D56" s="4">
        <f>AVERAGE(B48:B55)</f>
        <v>-0.28260943749999995</v>
      </c>
      <c r="E56">
        <f>AVERAGE(C48:C55)</f>
        <v>9.4700000000000006</v>
      </c>
      <c r="F56" s="4">
        <f>CORREL(B48:B55,C48:C55)</f>
        <v>-0.33831836740120597</v>
      </c>
      <c r="G56" s="4">
        <f>F56*SQRT(8-2)/SQRT(1-F56^2)</f>
        <v>-0.88063702902812879</v>
      </c>
      <c r="H56" s="4">
        <f>_xlfn.T.DIST.2T(0.88064,6)</f>
        <v>0.41239407923072158</v>
      </c>
    </row>
    <row r="57" spans="1:8" x14ac:dyDescent="0.3">
      <c r="G57" s="4"/>
    </row>
    <row r="58" spans="1:8" x14ac:dyDescent="0.3">
      <c r="A58" s="1" t="s">
        <v>23</v>
      </c>
      <c r="G58" s="4"/>
    </row>
    <row r="59" spans="1:8" x14ac:dyDescent="0.3">
      <c r="D59" s="4">
        <f>AVERAGE(B26:B55)</f>
        <v>0.51391236250000005</v>
      </c>
      <c r="E59" s="5">
        <f>AVERAGE(C26:C55)</f>
        <v>8.2604166666666643</v>
      </c>
      <c r="F59" s="4">
        <f>CORREL(B26:B55,C26:C55)</f>
        <v>-0.59422056896894238</v>
      </c>
      <c r="G59" s="4">
        <f>F59*SQRT(24-2)/SQRT(1-F59^2)</f>
        <v>-3.4652917349104571</v>
      </c>
      <c r="H59" s="4">
        <f>_xlfn.T.DIST.2T(3.46529,22)</f>
        <v>2.1997069829431865E-3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5</vt:lpstr>
      <vt:lpstr>Table A11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Qi Ge</cp:lastModifiedBy>
  <dcterms:created xsi:type="dcterms:W3CDTF">2022-06-08T18:50:48Z</dcterms:created>
  <dcterms:modified xsi:type="dcterms:W3CDTF">2023-03-27T04:29:33Z</dcterms:modified>
</cp:coreProperties>
</file>